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cd78f9065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0b8a83ea4504e1f"/>
    <x:sheet xmlns:r="http://schemas.openxmlformats.org/officeDocument/2006/relationships" name="Arbeitsblatt" sheetId="2" r:id="Rd3f62215ba394725"/>
    <x:sheet xmlns:r="http://schemas.openxmlformats.org/officeDocument/2006/relationships" name="Schueler_Vorlage" sheetId="3" r:id="R7dd31e88caf34f6c"/>
    <x:sheet xmlns:r="http://schemas.openxmlformats.org/officeDocument/2006/relationships" name="Lehrer_Loesung" sheetId="4" r:id="R150a6747ed2849af"/>
    <x:sheet xmlns:r="http://schemas.openxmlformats.org/officeDocument/2006/relationships" name="Hilfekarten" sheetId="5" r:id="R5481145439114f86"/>
    <x:sheet xmlns:r="http://schemas.openxmlformats.org/officeDocument/2006/relationships" name="Messreihe_Eingabe" sheetId="6" r:id="Rb1ce4ae73e98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€ #,##0.00"/>
    <x:numFmt numFmtId="202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  <x:font>
      <x:i/>
      <x:sz val="11"/>
      <x:name val="Carlito"/>
    </x:font>
    <x:font>
      <x:b/>
      <x:sz val="11"/>
      <x:color rgb="FF111827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0" fillId="0" xfId="0" applyNumberFormat="1" applyFont="1" applyFill="1" applyBorder="0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horizontal="center"/>
    </x:xf>
    <x:xf numFmtId="0" fontId="2" fillId="10" xfId="0" applyNumberFormat="1" applyFont="1" applyFill="1" applyBorder="0"/>
    <x:xf numFmtId="0" fontId="4" fillId="8" xfId="0" applyNumberFormat="1" applyFont="1" applyFill="1" applyBorder="0"/>
    <x:xf numFmtId="0" fontId="0" fillId="11" xfId="0" applyNumberFormat="1" applyFont="1" applyFill="1" applyBorder="0" applyAlignment="1">
      <x:alignment horizontal="center"/>
    </x:xf>
    <x:xf numFmtId="0" fontId="0" fillId="12" xfId="0" applyNumberFormat="1" applyFont="1" applyFill="1" applyBorder="0"/>
    <x:xf numFmtId="0" fontId="4" fillId="12" xfId="0" applyNumberFormat="1" applyFont="1" applyFill="1" applyBorder="0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2" fillId="13" xfId="0" applyNumberFormat="1" applyFont="1" applyFill="1" applyBorder="0"/>
    <x:xf numFmtId="0" fontId="4" fillId="14" xfId="0" applyNumberFormat="1" applyFont="1" applyFill="1" applyBorder="0"/>
    <x:xf numFmtId="0" fontId="0" fillId="15" xfId="0" applyNumberFormat="1" applyFont="1" applyFill="1" applyBorder="0"/>
    <x:xf numFmtId="0" fontId="5" fillId="15" xfId="0" applyNumberFormat="1" applyFont="1" applyFill="1" applyBorder="0"/>
    <x:xf numFmtId="0" fontId="5" fillId="15" xfId="0" applyNumberFormat="1" applyFont="1" applyFill="1" applyBorder="0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9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wrapText="1"/>
    </x:xf>
    <x:xf numFmtId="0" fontId="2" fillId="13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4" fillId="8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horizontal="center" wrapText="1"/>
    </x:xf>
    <x:xf numFmtId="0" fontId="4" fillId="14" xfId="0" applyNumberFormat="1" applyFont="1" applyFill="1" applyBorder="0" applyAlignment="1">
      <x:alignment wrapText="1"/>
    </x:xf>
    <x:xf numFmtId="0" fontId="4" fillId="12" xfId="0" applyNumberFormat="1" applyFont="1" applyFill="1" applyBorder="0" applyAlignment="1">
      <x:alignment wrapText="1"/>
    </x:xf>
    <x:xf numFmtId="0" fontId="6" fillId="16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2" fillId="9" xfId="0" applyNumberFormat="1" applyFont="1" applyFill="1" applyBorder="0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0" fontId="2" fillId="13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4" fillId="8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horizontal="center" vertical="center" wrapText="1"/>
    </x:xf>
    <x:xf numFmtId="0" fontId="4" fillId="14" xfId="0" applyNumberFormat="1" applyFont="1" applyFill="1" applyBorder="0" applyAlignment="1">
      <x:alignment vertical="center" wrapText="1"/>
    </x:xf>
    <x:xf numFmtId="0" fontId="4" fillId="12" xfId="0" applyNumberFormat="1" applyFont="1" applyFill="1" applyBorder="0" applyAlignment="1">
      <x:alignment vertical="center" wrapText="1"/>
    </x:xf>
    <x:xf numFmtId="0" fontId="5" fillId="15" xfId="0" applyNumberFormat="1" applyFont="1" applyFill="1" applyBorder="0" applyAlignment="1">
      <x:alignment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b0748f86b44ef" /><Relationship Type="http://schemas.openxmlformats.org/officeDocument/2006/relationships/theme" Target="/xl/theme/theme1.xml" Id="R14b02eb4a786409d" /><Relationship Type="http://schemas.openxmlformats.org/officeDocument/2006/relationships/sharedStrings" Target="/xl/sharedStrings.xml" Id="R72f2df3a6ee746e7" /><Relationship Type="http://schemas.openxmlformats.org/officeDocument/2006/relationships/worksheet" Target="/xl/worksheets/sheet1.xml" Id="R30b8a83ea4504e1f" /><Relationship Type="http://schemas.openxmlformats.org/officeDocument/2006/relationships/worksheet" Target="/xl/worksheets/sheet2.xml" Id="Rd3f62215ba394725" /><Relationship Type="http://schemas.openxmlformats.org/officeDocument/2006/relationships/worksheet" Target="/xl/worksheets/sheet3.xml" Id="R7dd31e88caf34f6c" /><Relationship Type="http://schemas.openxmlformats.org/officeDocument/2006/relationships/worksheet" Target="/xl/worksheets/sheet4.xml" Id="R150a6747ed2849af" /><Relationship Type="http://schemas.openxmlformats.org/officeDocument/2006/relationships/worksheet" Target="/xl/worksheets/sheet5.xml" Id="R5481145439114f86" /><Relationship Type="http://schemas.openxmlformats.org/officeDocument/2006/relationships/worksheet" Target="/xl/worksheets/sheet6.xml" Id="Rb1ce4ae73e984f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21e04695f480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Gewinn</c:v>
          </c:tx>
          <c:cat>
            <c:strRef>
              <c:f>'Lehrer_Loesung'!$A$3:$A$8</c:f>
              <c:strCache>
                <c:ptCount val="0"/>
              </c:strCache>
            </c:strRef>
          </c:cat>
          <c:val>
            <c:numRef>
              <c:f>'Lehrer_Loesung'!$G$3:$G$8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21e04695f48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uelerTabelle" displayName="SchuelerTabelle" ref="A2:H8" headerRowCount="1">
  <x:tableColumns count="8">
    <x:tableColumn id="1" name="Artikel"/>
    <x:tableColumn id="2" name="Einkaufspreis (€)"/>
    <x:tableColumn id="3" name="Verkaufspreis (€)"/>
    <x:tableColumn id="4" name="Verkaufte Anzahl"/>
    <x:tableColumn id="5" name="Umsatz (€)"/>
    <x:tableColumn id="6" name="Kosten (€)"/>
    <x:tableColumn id="7" name="Gewinn (€)"/>
    <x:tableColumn id="8" name="Gewinn nach Rabatt (€)"/>
  </x:tableColumns>
  <x:tableStyleInfo name="TableStyleMedium2" showRowStripes="1"/>
</x:table>
</file>

<file path=xl/tables/table2.xml><?xml version="1.0" encoding="utf-8"?>
<x:table xmlns:x="http://schemas.openxmlformats.org/spreadsheetml/2006/main" id="2" name="LoesungTabelle" displayName="LoesungTabelle" ref="A2:H8" headerRowCount="1">
  <x:tableColumns count="8">
    <x:tableColumn id="1" name="Artikel"/>
    <x:tableColumn id="2" name="Einkaufspreis (€)"/>
    <x:tableColumn id="3" name="Verkaufspreis (€)"/>
    <x:tableColumn id="4" name="Verkaufte Anzahl"/>
    <x:tableColumn id="5" name="Umsatz (€)"/>
    <x:tableColumn id="6" name="Kosten (€)"/>
    <x:tableColumn id="7" name="Gewinn (€)"/>
    <x:tableColumn id="8" name="Gewinn nach Rabatt (€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1625a66ca3046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383c52ff1c14dce" /><Relationship Type="http://schemas.openxmlformats.org/officeDocument/2006/relationships/table" Target="/xl/tables/table2.xml" Id="Raec1f5804e2b49a3" /></Relationships>
</file>

<file path=xl/worksheets/sheet1.xml><?xml version="1.0" encoding="utf-8"?>
<x:worksheet xmlns:x="http://schemas.openxmlformats.org/spreadsheetml/2006/main">
  <x:sheetFormatPr defaultRowHeight="15"/>
  <x:cols>
    <x:col min="1" max="1" width="110.5" hidden="0" customWidth="1"/>
    <x:col min="2" max="2" width="49.5" hidden="0" customWidth="1"/>
  </x:cols>
  <x:sheetData>
    <x:row r="1" ht="34" customHeight="1">
      <x:c r="A1" s="6" t="str">
        <x:v>Excel-Training Klasse 7: Schulfest-Kiosk planen</x:v>
      </x:c>
    </x:row>
    <x:row r="3">
      <x:c r="A3" s="14" t="str">
        <x:v>Ziel der 90 Minuten: Daten in Excel eingeben, Formeln nutzen, Summen/Mittelwerte berechnen, ein Diagramm erstellen und Ergebnisse begründen.</x:v>
      </x:c>
    </x:row>
    <x:row r="5">
      <x:c r="A5" s="22" t="str">
        <x:v>Sheet</x:v>
      </x:c>
      <x:c r="B5" s="22" t="str">
        <x:v>Nutzung</x:v>
      </x:c>
    </x:row>
    <x:row r="6">
      <x:c r="A6" s="29" t="str">
        <x:v>Arbeitsblatt</x:v>
      </x:c>
      <x:c r="B6" s="29" t="str">
        <x:v>Aufgaben für Lernende; kann angezeigt oder ausgedruckt werden.</x:v>
      </x:c>
    </x:row>
    <x:row r="7">
      <x:c r="A7" s="29" t="str">
        <x:v>Schueler_Vorlage</x:v>
      </x:c>
      <x:c r="B7" s="29" t="str">
        <x:v>Rohdaten und leere Spalten für die Bearbeitung.</x:v>
      </x:c>
    </x:row>
    <x:row r="8">
      <x:c r="A8" s="29" t="str">
        <x:v>Lehrer_Loesung</x:v>
      </x:c>
      <x:c r="B8" s="29" t="str">
        <x:v>Musterlösung mit Formeln, Summen und Diagramm.</x:v>
      </x:c>
    </x:row>
    <x:row r="9">
      <x:c r="A9" s="29" t="str">
        <x:v>Hilfekarten</x:v>
      </x:c>
      <x:c r="B9" s="29" t="str">
        <x:v>Gestufte Hilfen für die Arbeitsphase.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75" hidden="0" customWidth="1"/>
    <x:col min="2" max="2" width="85" hidden="0" customWidth="1"/>
  </x:cols>
  <x:sheetData>
    <x:row r="1" ht="32" customHeight="1">
      <x:c r="A1" s="6" t="str">
        <x:v>Arbeitsblatt: Schulfest-Kiosk mit Excel auswerten</x:v>
      </x:c>
    </x:row>
    <x:row r="3">
      <x:c r="A3" s="34" t="str">
        <x:v>Auftrag</x:v>
      </x:c>
      <x:c r="B3" s="14" t="str">
        <x:v>Du wertest die Verkäufe eines Schulfest-Kiosks aus. Am Ende sollst du sagen können, welche Produkte den größten Gewinn gebracht haben und ob sich ein Preisnachlass lohnt.</x:v>
      </x:c>
    </x:row>
    <x:row r="4">
      <x:c r="A4" s="34" t="str">
        <x:v>Grundregeln</x:v>
      </x:c>
      <x:c r="B4" s="14" t="str">
        <x:v>1. Eine Formel beginnt immer mit =.  2. Nutze Zellbezüge statt Zahlen abzutippen.  3. Ziehe Formeln nach unten, wenn sie für mehrere Zeilen gelten.  4. Formatiere Geldbeträge als €.</x:v>
      </x:c>
    </x:row>
    <x:row r="5">
      <x:c r="A5" s="34" t="str">
        <x:v>Schritt 1</x:v>
      </x:c>
      <x:c r="B5" s="14" t="str">
        <x:v>Öffne das Blatt Schueler_Vorlage. Berechne in E3 den Umsatz mit =C3*D3. Übertrage die Formel bis E8.</x:v>
      </x:c>
    </x:row>
    <x:row r="6">
      <x:c r="A6" s="34" t="str">
        <x:v>Schritt 2</x:v>
      </x:c>
      <x:c r="B6" s="14" t="str">
        <x:v>Berechne in F3 die Kosten mit =B3*D3. Übertrage die Formel bis F8.</x:v>
      </x:c>
    </x:row>
    <x:row r="7">
      <x:c r="A7" s="34" t="str">
        <x:v>Schritt 3</x:v>
      </x:c>
      <x:c r="B7" s="14" t="str">
        <x:v>Berechne in G3 den Gewinn mit =E3-F3. Übertrage die Formel bis G8.</x:v>
      </x:c>
    </x:row>
    <x:row r="8">
      <x:c r="A8" s="34" t="str">
        <x:v>Schritt 4</x:v>
      </x:c>
      <x:c r="B8" s="14" t="str">
        <x:v>Berechne in Zeile 10 die Summen für Anzahl, Umsatz, Kosten und Gewinn. Nutze SUMME.</x:v>
      </x:c>
    </x:row>
    <x:row r="9">
      <x:c r="A9" s="34" t="str">
        <x:v>Schritt 5</x:v>
      </x:c>
      <x:c r="B9" s="14" t="str">
        <x:v>Berechne in B12 den durchschnittlichen Gewinn pro Produkt. Nutze MITTELWERT für die Gewinne G3:G8.</x:v>
      </x:c>
    </x:row>
    <x:row r="10">
      <x:c r="A10" s="34" t="str">
        <x:v>Schritt 6</x:v>
      </x:c>
      <x:c r="B10" s="14" t="str">
        <x:v>Erstelle ein Säulendiagramm zu Artikel und Gewinn. Gib dem Diagramm einen sinnvollen Titel.</x:v>
      </x:c>
    </x:row>
    <x:row r="11">
      <x:c r="A11" s="34" t="str">
        <x:v>Auswertung</x:v>
      </x:c>
      <x:c r="B11" s="14" t="str">
        <x:v>Beantworte schriftlich: Welcher Artikel bringt insgesamt den größten Gewinn? Warum ist das nicht automatisch der Artikel mit dem höchsten Verkaufspreis?</x:v>
      </x:c>
    </x:row>
    <x:row r="12">
      <x:c r="A12" s="34" t="str">
        <x:v>Sprinter</x:v>
      </x:c>
      <x:c r="B12" s="14" t="str">
        <x:v>Trage in B13 einen Rabatt von 10 % ein. Berechne in H3 den Gewinn nach Rabatt mit =C3*(1-$B$13)*D3-F3. Übertrage die Formel bis H8 und vergleiche die Summe mit G10.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130001068115234" hidden="0" customWidth="1"/>
    <x:col min="2" max="2" width="50.380001068115234" hidden="0" customWidth="1"/>
    <x:col min="3" max="3" width="13.380000114440918" hidden="0" customWidth="1"/>
    <x:col min="4" max="4" width="13.5" hidden="0" customWidth="1"/>
    <x:col min="5" max="5" width="8.75" hidden="0" customWidth="1"/>
    <x:col min="6" max="6" width="8.25" hidden="0" customWidth="1"/>
    <x:col min="7" max="7" width="8.880000114440918" hidden="0" customWidth="1"/>
    <x:col min="8" max="8" width="18.3799991607666" hidden="0" customWidth="1"/>
  </x:cols>
  <x:sheetData>
    <x:row r="1">
      <x:c r="A1" s="6" t="str">
        <x:v>Schueler_Vorlage: Schulfest-Kiosk</x:v>
      </x:c>
      <x:c r="B1" s="40"/>
      <x:c r="C1" s="40"/>
      <x:c r="D1" s="42"/>
      <x:c r="E1" s="40"/>
      <x:c r="F1" s="40"/>
      <x:c r="G1" s="40"/>
      <x:c r="H1" s="40"/>
    </x:row>
    <x:row r="2">
      <x:c r="A2" s="22" t="str">
        <x:v>Artikel</x:v>
      </x:c>
      <x:c r="B2" s="22" t="str">
        <x:v>Einkaufspreis (€)</x:v>
      </x:c>
      <x:c r="C2" s="22" t="str">
        <x:v>Verkaufspreis (€)</x:v>
      </x:c>
      <x:c r="D2" s="22" t="str">
        <x:v>Verkaufte Anzahl</x:v>
      </x:c>
      <x:c r="E2" s="22" t="str">
        <x:v>Umsatz (€)</x:v>
      </x:c>
      <x:c r="F2" s="22" t="str">
        <x:v>Kosten (€)</x:v>
      </x:c>
      <x:c r="G2" s="22" t="str">
        <x:v>Gewinn (€)</x:v>
      </x:c>
      <x:c r="H2" s="22" t="str">
        <x:v>Gewinn nach Rabatt (€)</x:v>
      </x:c>
    </x:row>
    <x:row r="3">
      <x:c r="A3" t="str">
        <x:v>Wasser</x:v>
      </x:c>
      <x:c r="B3" t="n">
        <x:v>0.35</x:v>
      </x:c>
      <x:c r="C3" t="n">
        <x:v>1</x:v>
      </x:c>
      <x:c r="D3" t="n">
        <x:v>86</x:v>
      </x:c>
      <x:c r="E3"/>
      <x:c r="F3"/>
      <x:c r="G3"/>
      <x:c r="H3"/>
    </x:row>
    <x:row r="4">
      <x:c r="A4" t="str">
        <x:v>Apfelschorle</x:v>
      </x:c>
      <x:c r="B4" t="n">
        <x:v>0.5</x:v>
      </x:c>
      <x:c r="C4" t="n">
        <x:v>1.2</x:v>
      </x:c>
      <x:c r="D4" t="n">
        <x:v>64</x:v>
      </x:c>
      <x:c r="E4"/>
      <x:c r="F4"/>
      <x:c r="G4"/>
      <x:c r="H4"/>
    </x:row>
    <x:row r="5">
      <x:c r="A5" t="str">
        <x:v>Eistee</x:v>
      </x:c>
      <x:c r="B5" t="n">
        <x:v>0.45</x:v>
      </x:c>
      <x:c r="C5" t="n">
        <x:v>1.1</x:v>
      </x:c>
      <x:c r="D5" t="n">
        <x:v>58</x:v>
      </x:c>
      <x:c r="E5"/>
      <x:c r="F5"/>
      <x:c r="G5"/>
      <x:c r="H5"/>
    </x:row>
    <x:row r="6">
      <x:c r="A6" t="str">
        <x:v>Brezel</x:v>
      </x:c>
      <x:c r="B6" t="n">
        <x:v>0.7</x:v>
      </x:c>
      <x:c r="C6" t="n">
        <x:v>1.5</x:v>
      </x:c>
      <x:c r="D6" t="n">
        <x:v>72</x:v>
      </x:c>
      <x:c r="E6"/>
      <x:c r="F6"/>
      <x:c r="G6"/>
      <x:c r="H6"/>
    </x:row>
    <x:row r="7">
      <x:c r="A7" t="str">
        <x:v>Muffin</x:v>
      </x:c>
      <x:c r="B7" t="n">
        <x:v>0.8</x:v>
      </x:c>
      <x:c r="C7" t="n">
        <x:v>1.8</x:v>
      </x:c>
      <x:c r="D7" t="n">
        <x:v>45</x:v>
      </x:c>
      <x:c r="E7"/>
      <x:c r="F7"/>
      <x:c r="G7"/>
      <x:c r="H7"/>
    </x:row>
    <x:row r="8">
      <x:c r="A8" t="str">
        <x:v>Obstbecher</x:v>
      </x:c>
      <x:c r="B8" t="n">
        <x:v>1.1</x:v>
      </x:c>
      <x:c r="C8" t="n">
        <x:v>2.2</x:v>
      </x:c>
      <x:c r="D8" t="n">
        <x:v>33</x:v>
      </x:c>
      <x:c r="E8"/>
      <x:c r="F8"/>
      <x:c r="G8"/>
      <x:c r="H8"/>
    </x:row>
    <x:row r="10">
      <x:c r="A10" s="34" t="str">
        <x:v>Summe</x:v>
      </x:c>
      <x:c r="B10" s="45"/>
      <x:c r="C10" s="46"/>
      <x:c r="D10" s="46"/>
      <x:c r="E10" s="46"/>
      <x:c r="F10" s="46"/>
      <x:c r="G10" s="46"/>
      <x:c r="H10" s="46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34" t="str">
        <x:v>Durchschnittlicher Gewinn pro Produkt</x:v>
      </x:c>
      <x:c r="B12" s="14"/>
      <x:c r="C12" s="14"/>
      <x:c r="D12" s="14"/>
      <x:c r="E12" s="14"/>
      <x:c r="F12" s="14"/>
      <x:c r="G12" s="14"/>
      <x:c r="H12" s="14"/>
    </x:row>
    <x:row r="13">
      <x:c r="A13" s="34" t="str">
        <x:v>Rabatt für Sprinter</x:v>
      </x:c>
      <x:c r="B13" s="47"/>
      <x:c r="C13" s="14"/>
      <x:c r="D13" s="14"/>
      <x:c r="E13" s="14"/>
      <x:c r="F13" s="14"/>
      <x:c r="G13" s="14"/>
      <x:c r="H13" s="14"/>
    </x:row>
    <x:row r="14">
      <x:c r="A14" s="34"/>
      <x:c r="B14" s="14"/>
      <x:c r="C14" s="14"/>
      <x:c r="D14" s="14"/>
      <x:c r="E14" s="14"/>
      <x:c r="F14" s="14"/>
      <x:c r="G14" s="14"/>
      <x:c r="H14" s="14"/>
    </x:row>
    <x:row r="15">
      <x:c r="A15" s="46" t="str">
        <x:v>Kontrolle</x:v>
      </x:c>
      <x:c r="B15" s="46" t="str">
        <x:v>Die Summe des Gewinns liegt zwischen 270 € und 280 €.</x:v>
      </x:c>
      <x:c r="C15" s="46"/>
      <x:c r="D15" s="46"/>
      <x:c r="E15" s="46"/>
      <x:c r="F15" s="46"/>
      <x:c r="G15" s="46"/>
      <x:c r="H15" s="46"/>
    </x:row>
    <x:row r="16">
      <x:c r="A16" s="46" t="str">
        <x:v>Diagramm</x:v>
      </x:c>
      <x:c r="B16" s="46" t="str">
        <x:v>Markiere Artikel und Gewinn, um ein Säulendiagramm zu erstellen.</x:v>
      </x:c>
      <x:c r="C16" s="46"/>
      <x:c r="D16" s="46"/>
      <x:c r="E16" s="46"/>
      <x:c r="F16" s="46"/>
      <x:c r="G16" s="46"/>
      <x:c r="H16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1625a66ca3046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115.62999725341797" hidden="0" customWidth="1"/>
    <x:col min="3" max="3" width="13.380000114440918" hidden="0" customWidth="1"/>
    <x:col min="4" max="4" width="13.5" hidden="0" customWidth="1"/>
    <x:col min="5" max="5" width="8.75" hidden="0" customWidth="1"/>
    <x:col min="6" max="6" width="8.25" hidden="0" customWidth="1"/>
    <x:col min="7" max="7" width="8.880000114440918" hidden="0" customWidth="1"/>
    <x:col min="8" max="8" width="18.3799991607666" hidden="0" customWidth="1"/>
  </x:cols>
  <x:sheetData>
    <x:row r="1">
      <x:c r="A1" s="6" t="str">
        <x:v>Lehrer_Loesung: Schulfest-Kiosk</x:v>
      </x:c>
      <x:c r="B1" s="40"/>
      <x:c r="C1" s="40"/>
      <x:c r="D1" s="42"/>
      <x:c r="E1" s="40"/>
      <x:c r="F1" s="40"/>
      <x:c r="G1" s="40"/>
      <x:c r="H1" s="40"/>
    </x:row>
    <x:row r="2">
      <x:c r="A2" s="22" t="str">
        <x:v>Artikel</x:v>
      </x:c>
      <x:c r="B2" s="22" t="str">
        <x:v>Einkaufspreis (€)</x:v>
      </x:c>
      <x:c r="C2" s="22" t="str">
        <x:v>Verkaufspreis (€)</x:v>
      </x:c>
      <x:c r="D2" s="22" t="str">
        <x:v>Verkaufte Anzahl</x:v>
      </x:c>
      <x:c r="E2" s="22" t="str">
        <x:v>Umsatz (€)</x:v>
      </x:c>
      <x:c r="F2" s="22" t="str">
        <x:v>Kosten (€)</x:v>
      </x:c>
      <x:c r="G2" s="22" t="str">
        <x:v>Gewinn (€)</x:v>
      </x:c>
      <x:c r="H2" s="22" t="str">
        <x:v>Gewinn nach Rabatt (€)</x:v>
      </x:c>
    </x:row>
    <x:row r="3">
      <x:c r="A3" t="str">
        <x:v>Wasser</x:v>
      </x:c>
      <x:c r="B3" t="n">
        <x:v>0.35</x:v>
      </x:c>
      <x:c r="C3" t="n">
        <x:v>1</x:v>
      </x:c>
      <x:c r="D3" t="n">
        <x:v>86</x:v>
      </x:c>
      <x:c r="E3" t="n">
        <x:f>C3*D3</x:f>
        <x:v>86</x:v>
      </x:c>
      <x:c r="F3" t="n">
        <x:f>B3*D3</x:f>
        <x:v>30.099999999999998</x:v>
      </x:c>
      <x:c r="G3" t="n">
        <x:f>E3-F3</x:f>
        <x:v>55.900000000000006</x:v>
      </x:c>
      <x:c r="H3" t="n">
        <x:f>C3*(1-$B$13)*D3-F3</x:f>
        <x:v>47.30000000000001</x:v>
      </x:c>
    </x:row>
    <x:row r="4">
      <x:c r="A4" t="str">
        <x:v>Apfelschorle</x:v>
      </x:c>
      <x:c r="B4" t="n">
        <x:v>0.5</x:v>
      </x:c>
      <x:c r="C4" t="n">
        <x:v>1.2</x:v>
      </x:c>
      <x:c r="D4" t="n">
        <x:v>64</x:v>
      </x:c>
      <x:c r="E4" t="n">
        <x:f>C4*D4</x:f>
        <x:v>76.8</x:v>
      </x:c>
      <x:c r="F4" t="n">
        <x:f>B4*D4</x:f>
        <x:v>32</x:v>
      </x:c>
      <x:c r="G4" t="n">
        <x:f>E4-F4</x:f>
        <x:v>44.8</x:v>
      </x:c>
      <x:c r="H4" t="n">
        <x:f>C4*(1-$B$13)*D4-F4</x:f>
        <x:v>37.120000000000005</x:v>
      </x:c>
    </x:row>
    <x:row r="5">
      <x:c r="A5" t="str">
        <x:v>Eistee</x:v>
      </x:c>
      <x:c r="B5" t="n">
        <x:v>0.45</x:v>
      </x:c>
      <x:c r="C5" t="n">
        <x:v>1.1</x:v>
      </x:c>
      <x:c r="D5" t="n">
        <x:v>58</x:v>
      </x:c>
      <x:c r="E5" t="n">
        <x:f>C5*D5</x:f>
        <x:v>63.800000000000004</x:v>
      </x:c>
      <x:c r="F5" t="n">
        <x:f>B5*D5</x:f>
        <x:v>26.1</x:v>
      </x:c>
      <x:c r="G5" t="n">
        <x:f>E5-F5</x:f>
        <x:v>37.7</x:v>
      </x:c>
      <x:c r="H5" t="n">
        <x:f>C5*(1-$B$13)*D5-F5</x:f>
        <x:v>31.320000000000007</x:v>
      </x:c>
    </x:row>
    <x:row r="6">
      <x:c r="A6" t="str">
        <x:v>Brezel</x:v>
      </x:c>
      <x:c r="B6" t="n">
        <x:v>0.7</x:v>
      </x:c>
      <x:c r="C6" t="n">
        <x:v>1.5</x:v>
      </x:c>
      <x:c r="D6" t="n">
        <x:v>72</x:v>
      </x:c>
      <x:c r="E6" t="n">
        <x:f>C6*D6</x:f>
        <x:v>108</x:v>
      </x:c>
      <x:c r="F6" t="n">
        <x:f>B6*D6</x:f>
        <x:v>50.4</x:v>
      </x:c>
      <x:c r="G6" t="n">
        <x:f>E6-F6</x:f>
        <x:v>57.6</x:v>
      </x:c>
      <x:c r="H6" t="n">
        <x:f>C6*(1-$B$13)*D6-F6</x:f>
        <x:v>46.800000000000004</x:v>
      </x:c>
    </x:row>
    <x:row r="7">
      <x:c r="A7" t="str">
        <x:v>Muffin</x:v>
      </x:c>
      <x:c r="B7" t="n">
        <x:v>0.8</x:v>
      </x:c>
      <x:c r="C7" t="n">
        <x:v>1.8</x:v>
      </x:c>
      <x:c r="D7" t="n">
        <x:v>45</x:v>
      </x:c>
      <x:c r="E7" t="n">
        <x:f>C7*D7</x:f>
        <x:v>81</x:v>
      </x:c>
      <x:c r="F7" t="n">
        <x:f>B7*D7</x:f>
        <x:v>36</x:v>
      </x:c>
      <x:c r="G7" t="n">
        <x:f>E7-F7</x:f>
        <x:v>45</x:v>
      </x:c>
      <x:c r="H7" t="n">
        <x:f>C7*(1-$B$13)*D7-F7</x:f>
        <x:v>36.900000000000006</x:v>
      </x:c>
    </x:row>
    <x:row r="8">
      <x:c r="A8" t="str">
        <x:v>Obstbecher</x:v>
      </x:c>
      <x:c r="B8" t="n">
        <x:v>1.1</x:v>
      </x:c>
      <x:c r="C8" t="n">
        <x:v>2.2</x:v>
      </x:c>
      <x:c r="D8" t="n">
        <x:v>33</x:v>
      </x:c>
      <x:c r="E8" t="n">
        <x:f>C8*D8</x:f>
        <x:v>72.60000000000001</x:v>
      </x:c>
      <x:c r="F8" t="n">
        <x:f>B8*D8</x:f>
        <x:v>36.300000000000004</x:v>
      </x:c>
      <x:c r="G8" t="n">
        <x:f>E8-F8</x:f>
        <x:v>36.300000000000004</x:v>
      </x:c>
      <x:c r="H8" t="n">
        <x:f>C8*(1-$B$13)*D8-F8</x:f>
        <x:v>29.04</x:v>
      </x:c>
    </x:row>
    <x:row r="10">
      <x:c r="A10" s="34" t="str">
        <x:v>Summe</x:v>
      </x:c>
      <x:c r="B10" s="34" t="str"/>
      <x:c r="C10" s="34" t="str"/>
      <x:c r="D10" s="34" t="n">
        <x:f>SUM(D3:D8)</x:f>
        <x:v>358</x:v>
      </x:c>
      <x:c r="E10" s="34" t="n">
        <x:f>SUM(E3:E8)</x:f>
        <x:v>488.20000000000005</x:v>
      </x:c>
      <x:c r="F10" s="34" t="n">
        <x:f>SUM(F3:F8)</x:f>
        <x:v>210.9</x:v>
      </x:c>
      <x:c r="G10" s="34" t="n">
        <x:f>SUM(G3:G8)</x:f>
        <x:v>277.3</x:v>
      </x:c>
      <x:c r="H10" s="34" t="n">
        <x:f>SUM(H3:H8)</x:f>
        <x:v>228.48000000000002</x:v>
      </x:c>
    </x:row>
    <x:row r="12">
      <x:c r="A12" s="34" t="str">
        <x:v>Durchschnittlicher Gewinn pro Produkt</x:v>
      </x:c>
      <x:c r="B12" s="40" t="n">
        <x:f>AVERAGE(G3:G8)</x:f>
        <x:v>46.21666666666667</x:v>
      </x:c>
    </x:row>
    <x:row r="13">
      <x:c r="A13" s="34" t="str">
        <x:v>Rabatt</x:v>
      </x:c>
      <x:c r="B13" s="38" t="n">
        <x:v>0.1</x:v>
      </x:c>
    </x:row>
    <x:row r="14">
      <x:c r="A14" s="34"/>
    </x:row>
    <x:row r="15">
      <x:c r="A15" s="34" t="str">
        <x:v>Auswertung</x:v>
      </x:c>
      <x:c r="B15" s="14" t="str">
        <x:v>Der größte Gesamtgewinn kommt von der Brezel. Sie hat nicht den höchsten Verkaufspreis, wurde aber oft verkauft und hat pro Stück einen guten Gewinn.</x:v>
      </x:c>
    </x:row>
    <x:row r="16">
      <x:c r="A16" s="34" t="str">
        <x:v>Vergleich nach Rabatt</x:v>
      </x:c>
      <x:c r="B16" s="14" t="str">
        <x:v>Mit 10 % Rabatt sinkt der Gesamtgewinn deutlich. Ein Rabatt lohnt sich nur, wenn dadurch genug mehr verkauft wird.</x:v>
      </x:c>
    </x:row>
    <x:row r="17">
      <x:c r="A17" s="34" t="str">
        <x:v>Kontrollwert</x:v>
      </x:c>
      <x:c r="B17" s="14" t="str">
        <x:v>Gesamtgewinn ohne Rabatt: 277,30 €. Gesamtgewinn nach 10 % Rabatt: 228,48 €.</x:v>
      </x:c>
    </x:row>
  </x:sheetData>
  <x:mergeCells>
    <x:mergeCell ref="A1:H1"/>
  </x:mergeCells>
  <x:conditionalFormatting sqref="G3:G8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{E2197BF5-11A6-9E52-A557-8F3E69ECFEBF}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383c52ff1c14dce"/>
  <x:tableParts count="1">
    <x:tablePart xmlns:r="http://schemas.openxmlformats.org/officeDocument/2006/relationships" r:id="Raec1f5804e2b49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2197BF5-11A6-9E52-A557-8F3E69ECFEBF}">
            <x14:dataBar gradient="1">
              <x14:cfvo type="min"/>
              <x14:cfvo type="max"/>
              <x14:fillColor rgb="FF14B8A6"/>
            </x14:dataBar>
          </x14:cfRule>
          <xm:sqref>G3:G8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9.880001068115234" hidden="0" customWidth="1"/>
    <x:col min="2" max="2" width="80" hidden="0" customWidth="1"/>
  </x:cols>
  <x:sheetData>
    <x:row r="1">
      <x:c r="A1" s="6" t="str">
        <x:v>Hilfekarten: Excel-Tabelle Schulfest-Kiosk</x:v>
      </x:c>
    </x:row>
    <x:row r="3">
      <x:c r="A3" s="34" t="str">
        <x:v>Hilfe 1: Start</x:v>
      </x:c>
      <x:c r="B3" s="14" t="str">
        <x:v>Klicke in die Zelle, in der das Ergebnis stehen soll. Jede Formel beginnt mit =.</x:v>
      </x:c>
    </x:row>
    <x:row r="4">
      <x:c r="A4" s="34" t="str">
        <x:v>Hilfe 2: Umsatz</x:v>
      </x:c>
      <x:c r="B4" s="14" t="str">
        <x:v>Umsatz bedeutet: Verkaufspreis · verkaufte Anzahl. Nutze Zellbezüge, nicht abgeschriebene Zahlen.</x:v>
      </x:c>
    </x:row>
    <x:row r="5">
      <x:c r="A5" s="34" t="str">
        <x:v>Hilfe 3: Kosten</x:v>
      </x:c>
      <x:c r="B5" s="14" t="str">
        <x:v>Kosten bedeutet: Einkaufspreis · verkaufte Anzahl.</x:v>
      </x:c>
    </x:row>
    <x:row r="6">
      <x:c r="A6" s="34" t="str">
        <x:v>Hilfe 4: Gewinn</x:v>
      </x:c>
      <x:c r="B6" s="14" t="str">
        <x:v>Gewinn bedeutet: Umsatz − Kosten.</x:v>
      </x:c>
    </x:row>
    <x:row r="7">
      <x:c r="A7" s="34" t="str">
        <x:v>Hilfe 5: Formel übertragen</x:v>
      </x:c>
      <x:c r="B7" s="14" t="str">
        <x:v>Ziehe das kleine Quadrat unten rechts an der markierten Zelle nach unten.</x:v>
      </x:c>
    </x:row>
    <x:row r="8">
      <x:c r="A8" s="34" t="str">
        <x:v>Hilfe 6: Summe</x:v>
      </x:c>
      <x:c r="B8" s="14" t="str">
        <x:v>Nutze =SUMME(Bereich), z. B. =SUMME(G2:G7).</x:v>
      </x:c>
    </x:row>
    <x:row r="9">
      <x:c r="A9" s="34" t="str">
        <x:v>Hilfe 7: Diagramm</x:v>
      </x:c>
      <x:c r="B9" s="14" t="str">
        <x:v>Markiere zuerst die Artikel und dann die Gewinne. Wähle Einfügen → Diagramm → Säule.</x:v>
      </x:c>
    </x:row>
    <x:row r="10">
      <x:c r="A10" s="34" t="str">
        <x:v>Hilfe 8: Sprinter</x:v>
      </x:c>
      <x:c r="B10" s="14" t="str">
        <x:v>Bei einem festen Rabatt in B13 brauchst du den absoluten Zellbezug $B$13.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0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8" customHeight="1">
      <x:c r="A1" s="82" t="str">
        <x:v>Messreihe eintragen: Zeile und Spalte genau lesen</x:v>
      </x:c>
      <x:c r="B1" s="95"/>
      <x:c r="C1" s="95"/>
      <x:c r="D1" s="95"/>
      <x:c r="E1" s="95"/>
      <x:c r="F1" s="95"/>
      <x:c r="G1" s="95"/>
      <x:c r="H1" s="95"/>
      <x:c r="I1" s="95"/>
      <x:c r="J1" s="95"/>
    </x:row>
    <x:row r="2">
      <x:c r="A2" s="95"/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 t="str">
        <x:v>Aufgabe:</x:v>
      </x:c>
      <x:c r="B3" s="95" t="str">
        <x:v>Trage die Messwerte aus der Liste rechts in die leere Tabelle ein. Es wird noch nichts berechnet.</x:v>
      </x:c>
      <x:c r="C3" s="95"/>
      <x:c r="D3" s="95"/>
      <x:c r="E3" s="95"/>
      <x:c r="F3" s="95"/>
      <x:c r="G3" s="95"/>
      <x:c r="H3" s="95"/>
      <x:c r="I3" s="95"/>
      <x:c r="J3" s="95"/>
    </x:row>
    <x:row r="4">
      <x:c r="A4" s="96" t="str">
        <x:v>Beispiel:</x:v>
      </x:c>
      <x:c r="B4" s="95" t="str">
        <x:v>Zeile 1, Spalte 3 hat den Messwert 12. Die 12 steht also in der Tabelle bei Zeile 1 und Spalte 3.</x:v>
      </x:c>
      <x:c r="C4" s="95"/>
      <x:c r="D4" s="95"/>
      <x:c r="E4" s="95"/>
      <x:c r="F4" s="95"/>
      <x:c r="G4" s="95"/>
      <x:c r="H4" s="95"/>
      <x:c r="I4" s="95"/>
      <x:c r="J4" s="95"/>
    </x:row>
    <x:row r="5">
      <x:c r="A5" s="95"/>
      <x:c r="B5" s="95"/>
      <x:c r="C5" s="95"/>
      <x:c r="D5" s="95"/>
      <x:c r="E5" s="95"/>
      <x:c r="F5" s="95"/>
      <x:c r="G5" s="95"/>
      <x:c r="H5" s="95"/>
      <x:c r="I5" s="95"/>
      <x:c r="J5" s="95"/>
    </x:row>
    <x:row r="6">
      <x:c r="A6" s="97" t="str">
        <x:v>Angabe</x:v>
      </x:c>
      <x:c r="B6" s="97" t="str">
        <x:v>Messwert</x:v>
      </x:c>
      <x:c r="C6" s="95"/>
      <x:c r="D6" s="98" t="str"/>
      <x:c r="E6" s="98" t="str">
        <x:v>Spalte 1</x:v>
      </x:c>
      <x:c r="F6" s="98" t="str">
        <x:v>Spalte 2</x:v>
      </x:c>
      <x:c r="G6" s="98" t="str">
        <x:v>Spalte 3</x:v>
      </x:c>
      <x:c r="H6" s="95"/>
      <x:c r="I6" s="99" t="str">
        <x:v>Kontrolllösung</x:v>
      </x:c>
      <x:c r="J6" s="99" t="str">
        <x:v>Spalte 1</x:v>
      </x:c>
      <x:c r="K6" s="71" t="str">
        <x:v>Spalte 2</x:v>
      </x:c>
      <x:c r="L6" s="71" t="str">
        <x:v>Spalte 3</x:v>
      </x:c>
    </x:row>
    <x:row r="7">
      <x:c r="A7" s="100" t="str">
        <x:v>Zeile 1, Spalte 1</x:v>
      </x:c>
      <x:c r="B7" s="100" t="n">
        <x:v>8</x:v>
      </x:c>
      <x:c r="C7" s="95"/>
      <x:c r="D7" s="101" t="str">
        <x:v>Zeile 1</x:v>
      </x:c>
      <x:c r="E7" s="102"/>
      <x:c r="F7" s="102"/>
      <x:c r="G7" s="102"/>
      <x:c r="H7" s="95"/>
      <x:c r="I7" s="103" t="str">
        <x:v>Zeile 1</x:v>
      </x:c>
      <x:c r="J7" s="100" t="n">
        <x:v>8</x:v>
      </x:c>
      <x:c r="K7" s="57" t="n">
        <x:v>10</x:v>
      </x:c>
      <x:c r="L7" s="57" t="n">
        <x:v>12</x:v>
      </x:c>
    </x:row>
    <x:row r="8">
      <x:c r="A8" s="100" t="str">
        <x:v>Zeile 1, Spalte 2</x:v>
      </x:c>
      <x:c r="B8" s="100" t="n">
        <x:v>10</x:v>
      </x:c>
      <x:c r="C8" s="95"/>
      <x:c r="D8" s="101" t="str">
        <x:v>Zeile 2</x:v>
      </x:c>
      <x:c r="E8" s="102"/>
      <x:c r="F8" s="102"/>
      <x:c r="G8" s="102"/>
      <x:c r="H8" s="95"/>
      <x:c r="I8" s="103" t="str">
        <x:v>Zeile 2</x:v>
      </x:c>
      <x:c r="J8" s="100" t="n">
        <x:v>7</x:v>
      </x:c>
      <x:c r="K8" s="57" t="n">
        <x:v>11</x:v>
      </x:c>
      <x:c r="L8" s="57" t="n">
        <x:v>15</x:v>
      </x:c>
    </x:row>
    <x:row r="9">
      <x:c r="A9" s="100" t="str">
        <x:v>Zeile 1, Spalte 3</x:v>
      </x:c>
      <x:c r="B9" s="100" t="n">
        <x:v>12</x:v>
      </x:c>
      <x:c r="C9" s="95"/>
      <x:c r="D9" s="101" t="str">
        <x:v>Zeile 3</x:v>
      </x:c>
      <x:c r="E9" s="102"/>
      <x:c r="F9" s="102"/>
      <x:c r="G9" s="102"/>
      <x:c r="H9" s="95"/>
      <x:c r="I9" s="103" t="str">
        <x:v>Zeile 3</x:v>
      </x:c>
      <x:c r="J9" s="100" t="n">
        <x:v>9</x:v>
      </x:c>
      <x:c r="K9" s="57" t="n">
        <x:v>13</x:v>
      </x:c>
      <x:c r="L9" s="57" t="n">
        <x:v>14</x:v>
      </x:c>
    </x:row>
    <x:row r="10">
      <x:c r="A10" s="100" t="str">
        <x:v>Zeile 2, Spalte 1</x:v>
      </x:c>
      <x:c r="B10" s="100" t="n">
        <x:v>7</x:v>
      </x:c>
      <x:c r="C10" s="95"/>
      <x:c r="D10" s="104" t="str">
        <x:v>Kontrolle</x:v>
      </x:c>
      <x:c r="E10" s="100" t="str">
        <x:v>Trage ein</x:v>
      </x:c>
      <x:c r="F10" s="100" t="str">
        <x:v>Trage ein</x:v>
      </x:c>
      <x:c r="G10" s="100" t="str">
        <x:v>Trage ein</x:v>
      </x:c>
      <x:c r="H10" s="95"/>
      <x:c r="I10" s="105" t="str">
        <x:v>Hinweis</x:v>
      </x:c>
      <x:c r="J10" s="105" t="str">
        <x:v>erst nach eigener Kontrolle nutzen</x:v>
      </x:c>
      <x:c r="K10" s="75"/>
      <x:c r="L10" s="75"/>
    </x:row>
    <x:row r="11">
      <x:c r="A11" s="100" t="str">
        <x:v>Zeile 2, Spalte 2</x:v>
      </x:c>
      <x:c r="B11" s="100" t="n">
        <x:v>11</x:v>
      </x:c>
      <x:c r="C11" s="95"/>
      <x:c r="D11" s="95"/>
      <x:c r="E11" s="95"/>
      <x:c r="F11" s="95"/>
      <x:c r="G11" s="95"/>
      <x:c r="H11" s="95"/>
      <x:c r="I11" s="95"/>
      <x:c r="J11" s="95"/>
    </x:row>
    <x:row r="12">
      <x:c r="A12" s="100" t="str">
        <x:v>Zeile 2, Spalte 3</x:v>
      </x:c>
      <x:c r="B12" s="100" t="n">
        <x:v>15</x:v>
      </x:c>
      <x:c r="C12" s="95"/>
      <x:c r="D12" s="95"/>
      <x:c r="E12" s="95"/>
      <x:c r="F12" s="95"/>
      <x:c r="G12" s="95"/>
      <x:c r="H12" s="95"/>
      <x:c r="I12" s="95"/>
      <x:c r="J12" s="95"/>
    </x:row>
    <x:row r="13">
      <x:c r="A13" s="100" t="str">
        <x:v>Zeile 3, Spalte 1</x:v>
      </x:c>
      <x:c r="B13" s="100" t="n">
        <x:v>9</x:v>
      </x:c>
      <x:c r="C13" s="95"/>
      <x:c r="D13" s="95"/>
      <x:c r="E13" s="95"/>
      <x:c r="F13" s="95"/>
      <x:c r="G13" s="95"/>
      <x:c r="H13" s="95"/>
      <x:c r="I13" s="95"/>
      <x:c r="J13" s="95"/>
    </x:row>
    <x:row r="14">
      <x:c r="A14" s="100" t="str">
        <x:v>Zeile 3, Spalte 2</x:v>
      </x:c>
      <x:c r="B14" s="100" t="n">
        <x:v>13</x:v>
      </x:c>
      <x:c r="C14" s="95"/>
      <x:c r="D14" s="95"/>
      <x:c r="E14" s="95"/>
      <x:c r="F14" s="95"/>
      <x:c r="G14" s="95"/>
      <x:c r="H14" s="95"/>
      <x:c r="I14" s="95"/>
      <x:c r="J14" s="95"/>
    </x:row>
    <x:row r="15">
      <x:c r="A15" s="100" t="str">
        <x:v>Zeile 3, Spalte 3</x:v>
      </x:c>
      <x:c r="B15" s="100" t="n">
        <x:v>14</x:v>
      </x:c>
      <x:c r="C15" s="95"/>
      <x:c r="D15" s="95"/>
      <x:c r="E15" s="95"/>
      <x:c r="F15" s="95"/>
      <x:c r="G15" s="95"/>
      <x:c r="H15" s="95"/>
      <x:c r="I15" s="95"/>
      <x:c r="J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</x:row>
    <x:row r="17">
      <x:c r="A17" s="106" t="str">
        <x:v>Kontrollfragen nach dem Eintragen</x:v>
      </x:c>
      <x:c r="B17" s="95"/>
      <x:c r="C17" s="95"/>
      <x:c r="D17" s="95"/>
      <x:c r="E17" s="95"/>
      <x:c r="F17" s="95"/>
      <x:c r="G17" s="95"/>
      <x:c r="H17" s="95"/>
      <x:c r="I17" s="95"/>
      <x:c r="J17" s="95"/>
    </x:row>
    <x:row r="18">
      <x:c r="A18" s="107" t="str">
        <x:v>1</x:v>
      </x:c>
      <x:c r="B18" s="95" t="str">
        <x:v>Welcher Messwert steht bei Zeile 2, Spalte 3?</x:v>
      </x:c>
      <x:c r="C18" s="95"/>
      <x:c r="D18" s="108" t="str">
        <x:v>Antwort:</x:v>
      </x:c>
      <x:c r="E18" s="108"/>
      <x:c r="F18" s="109" t="str">
        <x:v>Lösung:</x:v>
      </x:c>
      <x:c r="G18" s="109" t="n">
        <x:v>15</x:v>
      </x:c>
      <x:c r="H18" s="95"/>
      <x:c r="I18" s="95"/>
      <x:c r="J18" s="95"/>
    </x:row>
    <x:row r="19">
      <x:c r="A19" s="107" t="str">
        <x:v>2</x:v>
      </x:c>
      <x:c r="B19" s="95" t="str">
        <x:v>Welcher Messwert steht bei Zeile 3, Spalte 2?</x:v>
      </x:c>
      <x:c r="C19" s="95"/>
      <x:c r="D19" s="108" t="str">
        <x:v>Antwort:</x:v>
      </x:c>
      <x:c r="E19" s="108"/>
      <x:c r="F19" s="109" t="str">
        <x:v>Lösung:</x:v>
      </x:c>
      <x:c r="G19" s="109" t="n">
        <x:v>13</x:v>
      </x:c>
      <x:c r="H19" s="95"/>
      <x:c r="I19" s="95"/>
      <x:c r="J19" s="95"/>
    </x:row>
    <x:row r="20">
      <x:c r="A20" s="107" t="str">
        <x:v>3</x:v>
      </x:c>
      <x:c r="B20" s="95" t="str">
        <x:v>In welcher Zeile und Spalte steht der Messwert 12?</x:v>
      </x:c>
      <x:c r="C20" s="95"/>
      <x:c r="D20" s="108" t="str">
        <x:v>Antwort:</x:v>
      </x:c>
      <x:c r="E20" s="108"/>
      <x:c r="F20" s="109" t="str">
        <x:v>Lösung:</x:v>
      </x:c>
      <x:c r="G20" s="109" t="str">
        <x:v>Zeile 1, Spalte 3</x:v>
      </x:c>
      <x:c r="H20" s="95"/>
      <x:c r="I20" s="95"/>
      <x:c r="J20" s="95"/>
    </x:row>
    <x:row r="21">
      <x:c r="A21" s="96" t="str">
        <x:v>Arbeitsregel</x:v>
      </x:c>
      <x:c r="B21" s="96" t="str">
        <x:v>Erst wenn die Kontrollfragen stimmen, gehst du zur nächsten Etappe im Lernpfad.</x:v>
      </x:c>
      <x:c r="C21" s="96"/>
      <x:c r="D21" s="96"/>
      <x:c r="E21" s="96"/>
      <x:c r="F21" s="96"/>
      <x:c r="G21" s="96"/>
      <x:c r="H21" s="96"/>
      <x:c r="I21" s="96"/>
      <x:c r="J21" s="96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</x:row>
  </x:sheetData>
  <x:mergeCells>
    <x:mergeCell ref="A1:J1"/>
    <x:mergeCell ref="B3:J3"/>
    <x:mergeCell ref="B4:J4"/>
    <x:mergeCell ref="A17:J17"/>
    <x:mergeCell ref="B21:J21"/>
  </x:mergeCells>
  <x:pageMargins left="0.7" right="0.7" top="0.75" bottom="0.75" header="0.3" footer="0.3"/>
</x:worksheet>
</file>